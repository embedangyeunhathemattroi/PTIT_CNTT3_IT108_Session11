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5a70bf58d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ieuMuon" sheetId="1" r:id="Rcc3463296c93466d"/>
    <x:sheet xmlns:r="http://schemas.openxmlformats.org/officeDocument/2006/relationships" name="DanhMucSach" sheetId="2" r:id="Rf40152486a7648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6">
    <x:font>
      <x:sz val="11"/>
      <x:name val="Carlito"/>
    </x:font>
    <x:font>
      <x:sz val="12"/>
      <x:name val="Arial"/>
    </x:font>
    <x:font>
      <x:b/>
      <x:sz val="12"/>
      <x:color rgb="FFFFFFFF"/>
      <x:name val="Arial"/>
    </x:font>
    <x:font>
      <x:sz val="12"/>
      <x:color rgb="FFC05000"/>
      <x:name val="Arial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200" fontId="1" fillId="0" borderId="1" xfId="0" applyNumberFormat="1" applyFont="1" applyFill="1" applyBorder="1"/>
    <x:xf numFmtId="0" fontId="3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fd3eef2c2a4729" /><Relationship Type="http://schemas.openxmlformats.org/officeDocument/2006/relationships/theme" Target="/xl/theme/theme1.xml" Id="Rb314c37710c844ee" /><Relationship Type="http://schemas.openxmlformats.org/officeDocument/2006/relationships/sharedStrings" Target="/xl/sharedStrings.xml" Id="Rd0c8766111374d73" /><Relationship Type="http://schemas.openxmlformats.org/officeDocument/2006/relationships/worksheet" Target="/xl/worksheets/sheet1.xml" Id="Rcc3463296c93466d" /><Relationship Type="http://schemas.openxmlformats.org/officeDocument/2006/relationships/worksheet" Target="/xl/worksheets/sheet2.xml" Id="Rf40152486a764832" /></Relationships>
</file>

<file path=xl/tables/table1.xml><?xml version="1.0" encoding="utf-8"?>
<x:table xmlns:x="http://schemas.openxmlformats.org/spreadsheetml/2006/main" id="1" name="BangPhieuMuon" displayName="BangPhieuMuon" ref="A1:F5" headerRowCount="1" totalsRowCount="0" totalsRowShown="0">
  <x:autoFilter ref="A1:F5"/>
  <x:tableColumns count="6">
    <x:tableColumn id="1" name="MSSV"/>
    <x:tableColumn id="2" name="Họ tên"/>
    <x:tableColumn id="3" name="Mã sách"/>
    <x:tableColumn id="4" name="Ngày mượn"/>
    <x:tableColumn id="5" name="Tình trạng"/>
    <x:tableColumn id="6" name="Tên sác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ngDanhMucSach" displayName="BangDanhMucSach" ref="A1:C4" headerRowCount="1" totalsRowCount="0" totalsRowShown="0">
  <x:autoFilter ref="A1:C4"/>
  <x:tableColumns count="3">
    <x:tableColumn id="1" name="Mã sách"/>
    <x:tableColumn id="2" name="Tên sách"/>
    <x:tableColumn id="3" name="Thể lo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8a7087bfdd41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99faddc1db4d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3" hidden="0" customWidth="1"/>
    <x:col min="4" max="4" width="17" hidden="0" customWidth="1"/>
    <x:col min="5" max="5" width="19" hidden="0" customWidth="1"/>
    <x:col min="6" max="6" width="30" hidden="0" customWidth="1"/>
    <x:col min="8" max="8" width="42" hidden="0" customWidth="1"/>
    <x:col min="9" max="9" width="14" hidden="0" customWidth="1"/>
  </x:cols>
  <x:sheetData>
    <x:row r="1" ht="30" customHeight="1">
      <x:c r="A1" s="4" t="str">
        <x:v>MSSV</x:v>
      </x:c>
      <x:c r="B1" s="4" t="str">
        <x:v>Họ tên</x:v>
      </x:c>
      <x:c r="C1" s="4" t="str">
        <x:v>Mã sách</x:v>
      </x:c>
      <x:c r="D1" s="4" t="str">
        <x:v>Ngày mượn</x:v>
      </x:c>
      <x:c r="E1" s="4" t="str">
        <x:v>Tình trạng</x:v>
      </x:c>
      <x:c r="F1" s="4" t="str">
        <x:v>Tên sách</x:v>
      </x:c>
      <x:c r="H1" s="8" t="str">
        <x:v>Thống kê ngoài vùng dữ liệu</x:v>
      </x:c>
      <x:c r="I1" s="8" t="str">
        <x:v>Số phiếu</x:v>
      </x:c>
    </x:row>
    <x:row r="2" ht="30" customHeight="1">
      <x:c r="A2" s="2" t="str">
        <x:v>SV001</x:v>
      </x:c>
      <x:c r="B2" s="2" t="str">
        <x:v>Nguyễn Văn An</x:v>
      </x:c>
      <x:c r="C2" s="2" t="str">
        <x:v>S001</x:v>
      </x:c>
      <x:c r="D2" s="5" t="d">
        <x:v>2026-10-01T00:00:00.000Z</x:v>
      </x:c>
      <x:c r="E2" s="2" t="str">
        <x:v>Đang mượn</x:v>
      </x:c>
      <x:c r="F2" s="2" t="str">
        <x:f>IFERROR(VLOOKUP(C2,DanhMucSach!$A$2:$C$4,2,FALSE),"Không tìm thấy sách")</x:f>
        <x:v>Lập Trình C Căn Bản</x:v>
      </x:c>
      <x:c r="H2" t="str">
        <x:v>Tổng cộng</x:v>
      </x:c>
      <x:c r="I2" t="n">
        <x:f>COUNTA(A2:A5)</x:f>
        <x:v>4</x:v>
      </x:c>
    </x:row>
    <x:row r="3" ht="30" customHeight="1">
      <x:c r="A3" s="2" t="str">
        <x:v>SV002</x:v>
      </x:c>
      <x:c r="B3" s="2" t="str">
        <x:v>Trần Thị Bình</x:v>
      </x:c>
      <x:c r="C3" s="2" t="str">
        <x:v>S002</x:v>
      </x:c>
      <x:c r="D3" s="5" t="d">
        <x:v>2026-10-03T00:00:00.000Z</x:v>
      </x:c>
      <x:c r="E3" s="2" t="str">
        <x:v>Quá hạn</x:v>
      </x:c>
      <x:c r="F3" s="2" t="str">
        <x:f>IFERROR(VLOOKUP(C3,DanhMucSach!$A$2:$C$4,2,FALSE),"Không tìm thấy sách")</x:f>
        <x:v>Giải Tích 1</x:v>
      </x:c>
      <x:c r="H3" t="str">
        <x:v>Đang mượn</x:v>
      </x:c>
      <x:c r="I3" t="n">
        <x:f>COUNTIF(E2:E5,H3)</x:f>
        <x:v>2</x:v>
      </x:c>
    </x:row>
    <x:row r="4" ht="30" customHeight="1">
      <x:c r="A4" s="2" t="str">
        <x:v>SV003</x:v>
      </x:c>
      <x:c r="B4" s="2" t="str">
        <x:v>Lê Văn Cường</x:v>
      </x:c>
      <x:c r="C4" s="2" t="str">
        <x:v>S003</x:v>
      </x:c>
      <x:c r="D4" s="5" t="d">
        <x:v>2026-10-10T00:00:00.000Z</x:v>
      </x:c>
      <x:c r="E4" s="2" t="str">
        <x:v>Đã trả</x:v>
      </x:c>
      <x:c r="F4" s="2" t="str">
        <x:f>IFERROR(VLOOKUP(C4,DanhMucSach!$A$2:$C$4,2,FALSE),"Không tìm thấy sách")</x:f>
        <x:v>Kỹ Năng Mềm</x:v>
      </x:c>
      <x:c r="H4" t="str">
        <x:v>Quá hạn</x:v>
      </x:c>
      <x:c r="I4" t="n">
        <x:f>COUNTIF(E2:E5,H4)</x:f>
        <x:v>1</x:v>
      </x:c>
    </x:row>
    <x:row r="5" ht="30" customHeight="1">
      <x:c r="A5" s="2" t="str">
        <x:v>SV004</x:v>
      </x:c>
      <x:c r="B5" s="2" t="str">
        <x:v>Phạm Thu Hà</x:v>
      </x:c>
      <x:c r="C5" s="2" t="str">
        <x:v>S099</x:v>
      </x:c>
      <x:c r="D5" s="5" t="d">
        <x:v>2026-10-12T00:00:00.000Z</x:v>
      </x:c>
      <x:c r="E5" s="2" t="str">
        <x:v>Đang mượn</x:v>
      </x:c>
      <x:c r="F5" s="6" t="str">
        <x:f>IFERROR(VLOOKUP(C5,DanhMucSach!$A$2:$C$4,2,FALSE),"Không tìm thấy sách")</x:f>
        <x:v>Không tìm thấy sách</x:v>
      </x:c>
      <x:c r="H5" t="str">
        <x:v>Đã trả</x:v>
      </x:c>
      <x:c r="I5" t="n">
        <x:f>COUNTIF(E2:E5,H5)</x:f>
        <x:v>1</x:v>
      </x:c>
    </x:row>
    <x:row r="8" ht="25" customHeight="1">
      <x:c r="A8" s="9" t="str">
        <x:v>Phân tích và thao tác</x:v>
      </x:c>
    </x:row>
    <x:row r="9" ht="25" customHeight="1">
      <x:c r="A9" t="str">
        <x:v>Lỗi hàng 1: gộp ô A1:E1. Đã bỏ tiêu đề lớn khỏi bảng.</x:v>
      </x:c>
    </x:row>
    <x:row r="10" ht="25" customHeight="1">
      <x:c r="A10" t="str">
        <x:v>Lỗi hàng 5: hàng trống ngắt dữ liệu. Đã xóa.</x:v>
      </x:c>
    </x:row>
    <x:row r="11" ht="25" customHeight="1">
      <x:c r="A11" t="str">
        <x:v>Lỗi hàng 6: tổng cộng nằm giữa dữ liệu. Đã chuyển sang H2:I2.</x:v>
      </x:c>
    </x:row>
    <x:row r="12" ht="25" customHeight="1">
      <x:c r="A12" t="str">
        <x:v>Record: một phiếu mượn, ví dụ hàng SV001. Field: một cột, ví dụ Mã sách.</x:v>
      </x:c>
    </x:row>
    <x:row r="13" ht="25" customHeight="1">
      <x:c r="A13" t="str">
        <x:v>Mỗi hàng là một phiếu; mỗi cột một trường; một hàng tiêu đề rõ ràng.</x:v>
      </x:c>
    </x:row>
    <x:row r="14" ht="25" customHeight="1">
      <x:c r="A14" t="str">
        <x:v>Không gộp ô, không hàng trống, không tổng cộng trong vùng A1:F5.</x:v>
      </x:c>
    </x:row>
    <x:row r="15" ht="25" customHeight="1">
      <x:c r="A15" t="str">
        <x:v>Lọc: chọn A1:F5 &gt; Ctrl+Shift+L nếu chưa có bộ lọc &gt; Tình trạng &gt; Quá hạn.</x:v>
      </x:c>
    </x:row>
    <x:row r="16" ht="25" customHeight="1">
      <x:c r="A16" t="str">
        <x:v>Kết quả lọc: SV002 – Trần Thị Bình. Dữ liệu hiện được giữ đủ 4 phiếu.</x:v>
      </x:c>
    </x:row>
    <x:row r="17" ht="25" customHeight="1">
      <x:c r="A17" t="str">
        <x:v>S099 ở hàng 8 gốc chuyển thành hàng 5 sau chuẩn hóa.</x:v>
      </x:c>
    </x:row>
    <x:row r="18" ht="25" customHeight="1">
      <x:c r="A18" t="str">
        <x:v>VLOOKUP riêng trả #N/A vì S099 không có trong DanhMucSach.</x:v>
      </x:c>
    </x:row>
    <x:row r="19" ht="25" customHeight="1">
      <x:c r="A19" t="str">
        <x:v>=VLOOKUP(C2,DanhMucSach!$A$2:$C$4,2,FALSE)</x:v>
      </x:c>
    </x:row>
    <x:row r="20" ht="25" customHeight="1">
      <x:c r="A20" t="str">
        <x:v>Cột F dùng IFERROR bên ngoài VLOOKUP để thay lỗi bằng thông báo.</x:v>
      </x:c>
    </x:row>
    <x:row r="21" ht="25" customHeight="1">
      <x:c r="A21" t="str">
        <x:v>Nguồn: dữ liệu và tình trạng được giữ theo đề bài Session 10.</x:v>
      </x:c>
    </x:row>
  </x:sheetData>
  <x:pageMargins left="0.7" right="0.7" top="0.75" bottom="0.75" header="0.3" footer="0.3"/>
  <x:tableParts count="1">
    <x:tablePart xmlns:r="http://schemas.openxmlformats.org/officeDocument/2006/relationships" r:id="R978a7087bfdd419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28" hidden="0" customWidth="1"/>
  </x:cols>
  <x:sheetData>
    <x:row r="1" ht="30" customHeight="1">
      <x:c r="A1" s="4" t="str">
        <x:v>Mã sách</x:v>
      </x:c>
      <x:c r="B1" s="4" t="str">
        <x:v>Tên sách</x:v>
      </x:c>
      <x:c r="C1" s="4" t="str">
        <x:v>Thể loại</x:v>
      </x:c>
    </x:row>
    <x:row r="2" ht="30" customHeight="1">
      <x:c r="A2" s="2" t="str">
        <x:v>S001</x:v>
      </x:c>
      <x:c r="B2" s="2" t="str">
        <x:v>Lập Trình C Căn Bản</x:v>
      </x:c>
      <x:c r="C2" s="2" t="str">
        <x:v>Công nghệ thông tin</x:v>
      </x:c>
    </x:row>
    <x:row r="3" ht="30" customHeight="1">
      <x:c r="A3" s="2" t="str">
        <x:v>S002</x:v>
      </x:c>
      <x:c r="B3" s="2" t="str">
        <x:v>Giải Tích 1</x:v>
      </x:c>
      <x:c r="C3" s="2" t="str">
        <x:v>Toán học</x:v>
      </x:c>
    </x:row>
    <x:row r="4" ht="30" customHeight="1">
      <x:c r="A4" s="2" t="str">
        <x:v>S003</x:v>
      </x:c>
      <x:c r="B4" s="2" t="str">
        <x:v>Kỹ Năng Mềm</x:v>
      </x:c>
      <x:c r="C4" s="2" t="str">
        <x:v>Kỹ năng sống</x:v>
      </x:c>
    </x:row>
    <x:row r="7">
      <x:c r="A7" t="str">
        <x:v>Nguồn: danh mục sách trong đề bài, không bổ sung mã S099.</x:v>
      </x:c>
    </x:row>
  </x:sheetData>
  <x:pageMargins left="0.7" right="0.7" top="0.75" bottom="0.75" header="0.3" footer="0.3"/>
  <x:tableParts count="1">
    <x:tablePart xmlns:r="http://schemas.openxmlformats.org/officeDocument/2006/relationships" r:id="Rb999faddc1db4da6"/>
  </x:tableParts>
</x:worksheet>
</file>